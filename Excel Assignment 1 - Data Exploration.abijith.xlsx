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6C7A075-9699-4A77-9ACE-85C9DF0576F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  <sheet name="solution" sheetId="3" r:id="rId3"/>
  </sheets>
  <externalReferences>
    <externalReference r:id="rId4"/>
  </externalReferences>
  <definedNames>
    <definedName name="solution">solution!$A$1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B14" i="3"/>
  <c r="B13" i="3"/>
  <c r="B12" i="3"/>
  <c r="B11" i="3"/>
  <c r="B9" i="3"/>
  <c r="B7" i="3"/>
  <c r="G3" i="2" l="1"/>
  <c r="G2" i="2"/>
</calcChain>
</file>

<file path=xl/sharedStrings.xml><?xml version="1.0" encoding="utf-8"?>
<sst xmlns="http://schemas.openxmlformats.org/spreadsheetml/2006/main" count="189" uniqueCount="140">
  <si>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</si>
  <si>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</si>
  <si>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</si>
  <si>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</si>
  <si>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</si>
  <si>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</si>
  <si>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</si>
  <si>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</si>
  <si>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</si>
  <si>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</si>
  <si>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</si>
  <si>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</si>
  <si>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</si>
  <si>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</si>
  <si>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</si>
  <si>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</si>
  <si>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</si>
  <si>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</si>
  <si>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</si>
  <si>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</si>
  <si>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</si>
  <si>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</si>
  <si>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</si>
  <si>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</si>
  <si>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</si>
  <si>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</si>
  <si>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</si>
  <si>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</si>
  <si>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</si>
  <si>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</si>
  <si>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</si>
  <si>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</si>
  <si>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</si>
  <si>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</si>
  <si>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</si>
  <si>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</si>
  <si>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</si>
  <si>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</si>
  <si>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</si>
  <si>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</si>
  <si>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</si>
  <si>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</si>
  <si>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</si>
  <si>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</si>
  <si>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</si>
  <si>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</si>
  <si>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</si>
  <si>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</si>
  <si>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</si>
  <si>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</si>
  <si>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</si>
  <si>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</si>
  <si>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</si>
  <si>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</si>
  <si>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</si>
  <si>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</si>
  <si>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</si>
  <si>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</si>
  <si>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</si>
  <si>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</si>
  <si>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</si>
  <si>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</si>
  <si>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</si>
  <si>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</si>
  <si>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</si>
  <si>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</si>
  <si>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</si>
  <si>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</si>
  <si>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</si>
  <si>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</si>
  <si>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</si>
  <si>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</si>
  <si>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</si>
  <si>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</si>
  <si>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</si>
  <si>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</si>
  <si>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</si>
  <si>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</si>
  <si>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</si>
  <si>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</si>
  <si>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</si>
  <si>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</si>
  <si>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</si>
  <si>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</si>
  <si>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</si>
  <si>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</si>
  <si>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</si>
  <si>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</si>
  <si>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</si>
  <si>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</si>
  <si>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</si>
  <si>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</si>
  <si>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</si>
  <si>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</si>
  <si>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</si>
  <si>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</si>
  <si>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</si>
  <si>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</si>
  <si>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</si>
  <si>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</si>
  <si>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</si>
  <si>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</si>
  <si>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</si>
  <si>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</si>
  <si>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</si>
  <si>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</si>
  <si>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</si>
  <si>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</si>
  <si>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</si>
  <si>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</si>
  <si>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 xml:space="preserve"> </t>
  </si>
  <si>
    <t>Excel Assignment 1 - Solutions</t>
  </si>
  <si>
    <t>Question</t>
  </si>
  <si>
    <t>Formula</t>
  </si>
  <si>
    <t>Purpose</t>
  </si>
  <si>
    <t>1. Total Price</t>
  </si>
  <si>
    <t>SUM of all product prices</t>
  </si>
  <si>
    <t>1. Product Count</t>
  </si>
  <si>
    <t>COUNT of numeric prices/products</t>
  </si>
  <si>
    <t>1. Average Price</t>
  </si>
  <si>
    <t>Average product price</t>
  </si>
  <si>
    <t>2. Minimum Price</t>
  </si>
  <si>
    <t>Minimum product price</t>
  </si>
  <si>
    <t>2. Maximum Price</t>
  </si>
  <si>
    <t>Maximum product price</t>
  </si>
  <si>
    <t>3. Price Range</t>
  </si>
  <si>
    <t>Copy down in Price Range column</t>
  </si>
  <si>
    <t>4. Electronics Total Price</t>
  </si>
  <si>
    <t>SUMIF for Electronics</t>
  </si>
  <si>
    <t>4. Count Price &lt; $100</t>
  </si>
  <si>
    <t>COUNTIF for prices below $100</t>
  </si>
  <si>
    <t>5. Day</t>
  </si>
  <si>
    <t>First 2 characters of Product ID</t>
  </si>
  <si>
    <t>5. Country Code</t>
  </si>
  <si>
    <t>Last 2 characters of Product ID</t>
  </si>
  <si>
    <t>5. Month</t>
  </si>
  <si>
    <t>Characters 4-6 of Product ID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</si>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</sst>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F0"/>
        <bgColor indexed="6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7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/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_Assignment_1_Solved%20Ab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ataset"/>
      <sheetName val="Solutions"/>
    </sheetNames>
    <sheetDataSet>
      <sheetData sheetId="0"/>
      <sheetData sheetId="1">
        <row r="2">
          <cell r="A2" t="str">
            <v>28-JAN-US</v>
          </cell>
          <cell r="D2">
            <v>1000</v>
          </cell>
        </row>
        <row r="3">
          <cell r="D3">
            <v>80</v>
          </cell>
        </row>
        <row r="4">
          <cell r="D4">
            <v>130</v>
          </cell>
        </row>
        <row r="5">
          <cell r="D5">
            <v>900</v>
          </cell>
        </row>
        <row r="6">
          <cell r="D6">
            <v>70</v>
          </cell>
        </row>
        <row r="7">
          <cell r="D7">
            <v>200</v>
          </cell>
        </row>
        <row r="8">
          <cell r="D8">
            <v>30</v>
          </cell>
        </row>
        <row r="9">
          <cell r="D9">
            <v>90</v>
          </cell>
        </row>
        <row r="10">
          <cell r="D10">
            <v>500</v>
          </cell>
        </row>
        <row r="11">
          <cell r="D11">
            <v>130</v>
          </cell>
        </row>
        <row r="12">
          <cell r="D12">
            <v>950</v>
          </cell>
        </row>
        <row r="13">
          <cell r="D13">
            <v>90</v>
          </cell>
        </row>
        <row r="14">
          <cell r="D14">
            <v>120</v>
          </cell>
        </row>
        <row r="15">
          <cell r="D15">
            <v>150</v>
          </cell>
        </row>
        <row r="16">
          <cell r="D16">
            <v>250</v>
          </cell>
        </row>
        <row r="17">
          <cell r="D17">
            <v>50</v>
          </cell>
        </row>
        <row r="18">
          <cell r="D18">
            <v>160</v>
          </cell>
        </row>
        <row r="19">
          <cell r="D19">
            <v>980</v>
          </cell>
        </row>
        <row r="20">
          <cell r="D20">
            <v>150</v>
          </cell>
        </row>
        <row r="21">
          <cell r="D21">
            <v>200</v>
          </cell>
        </row>
        <row r="22">
          <cell r="D22">
            <v>700</v>
          </cell>
        </row>
        <row r="23">
          <cell r="D23">
            <v>80</v>
          </cell>
        </row>
        <row r="24">
          <cell r="D24">
            <v>150</v>
          </cell>
        </row>
        <row r="25">
          <cell r="D25">
            <v>50</v>
          </cell>
        </row>
        <row r="26">
          <cell r="D26">
            <v>800</v>
          </cell>
        </row>
        <row r="27">
          <cell r="D27">
            <v>130</v>
          </cell>
        </row>
        <row r="28">
          <cell r="D28">
            <v>400</v>
          </cell>
        </row>
        <row r="29">
          <cell r="D29">
            <v>230</v>
          </cell>
        </row>
        <row r="30">
          <cell r="D30">
            <v>60</v>
          </cell>
        </row>
        <row r="31">
          <cell r="D31">
            <v>40</v>
          </cell>
        </row>
        <row r="32">
          <cell r="D32">
            <v>130</v>
          </cell>
        </row>
        <row r="33">
          <cell r="D33">
            <v>50</v>
          </cell>
        </row>
        <row r="34">
          <cell r="D34">
            <v>950</v>
          </cell>
        </row>
        <row r="35">
          <cell r="D35">
            <v>100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9" t="s">
        <v>110</v>
      </c>
    </row>
    <row r="2" spans="1:3" ht="15.75" customHeight="1" x14ac:dyDescent="0.2"/>
    <row r="3" spans="1:3" ht="15.75" customHeight="1" x14ac:dyDescent="0.25">
      <c r="B3" s="1" t="s">
        <v>0</v>
      </c>
    </row>
    <row r="4" spans="1:3" ht="15.75" customHeight="1" x14ac:dyDescent="0.25">
      <c r="B4" s="1"/>
      <c r="C4" s="2" t="s">
        <v>1</v>
      </c>
    </row>
    <row r="5" spans="1:3" ht="15.75" customHeight="1" x14ac:dyDescent="0.25">
      <c r="B5" s="1"/>
      <c r="C5" s="2" t="s">
        <v>2</v>
      </c>
    </row>
    <row r="6" spans="1:3" ht="15.75" customHeight="1" x14ac:dyDescent="0.25">
      <c r="B6" s="1"/>
      <c r="C6" s="2" t="s">
        <v>3</v>
      </c>
    </row>
    <row r="7" spans="1:3" ht="15.75" customHeight="1" x14ac:dyDescent="0.25">
      <c r="B7" s="3"/>
    </row>
    <row r="8" spans="1:3" ht="15.75" customHeight="1" x14ac:dyDescent="0.25">
      <c r="B8" s="1" t="s">
        <v>4</v>
      </c>
    </row>
    <row r="9" spans="1:3" ht="15.75" customHeight="1" x14ac:dyDescent="0.25">
      <c r="C9" s="2" t="s">
        <v>5</v>
      </c>
    </row>
    <row r="10" spans="1:3" ht="15.75" customHeight="1" x14ac:dyDescent="0.25">
      <c r="C10" s="2" t="s">
        <v>6</v>
      </c>
    </row>
    <row r="11" spans="1:3" ht="15.75" customHeight="1" x14ac:dyDescent="0.25">
      <c r="B11" s="3"/>
    </row>
    <row r="12" spans="1:3" ht="15.75" customHeight="1" x14ac:dyDescent="0.25">
      <c r="B12" s="1" t="s">
        <v>7</v>
      </c>
    </row>
    <row r="13" spans="1:3" ht="15.75" customHeight="1" x14ac:dyDescent="0.25">
      <c r="C13" s="2" t="s">
        <v>8</v>
      </c>
    </row>
    <row r="14" spans="1:3" ht="15.75" customHeight="1" x14ac:dyDescent="0.25">
      <c r="B14" s="3"/>
    </row>
    <row r="15" spans="1:3" ht="15.75" customHeight="1" x14ac:dyDescent="0.25">
      <c r="B15" s="1" t="s">
        <v>9</v>
      </c>
    </row>
    <row r="16" spans="1:3" ht="15.75" customHeight="1" x14ac:dyDescent="0.25">
      <c r="C16" s="2" t="s">
        <v>10</v>
      </c>
    </row>
    <row r="17" spans="2:3" ht="15.75" customHeight="1" x14ac:dyDescent="0.25">
      <c r="C17" s="2" t="s">
        <v>11</v>
      </c>
    </row>
    <row r="18" spans="2:3" ht="15.75" customHeight="1" x14ac:dyDescent="0.25">
      <c r="B18" s="3"/>
    </row>
    <row r="19" spans="2:3" ht="15.75" customHeight="1" x14ac:dyDescent="0.25">
      <c r="B19" s="1" t="s">
        <v>12</v>
      </c>
    </row>
    <row r="20" spans="2:3" ht="15.75" customHeight="1" x14ac:dyDescent="0.25">
      <c r="C20" s="2" t="s">
        <v>13</v>
      </c>
    </row>
    <row r="21" spans="2:3" ht="15.75" customHeight="1" x14ac:dyDescent="0.25">
      <c r="C21" s="2" t="s">
        <v>14</v>
      </c>
    </row>
    <row r="22" spans="2:3" ht="15.75" customHeight="1" x14ac:dyDescent="0.25">
      <c r="C22" s="2" t="s">
        <v>15</v>
      </c>
    </row>
    <row r="23" spans="2:3" ht="15.75" customHeight="1" x14ac:dyDescent="0.25">
      <c r="B23" s="3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K32" sqref="K32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36.140625" bestFit="1" customWidth="1"/>
    <col min="4" max="6" width="12.5703125" customWidth="1"/>
    <col min="7" max="7" width="13.42578125" bestFit="1" customWidth="1"/>
    <col min="8" max="8" width="13.42578125" customWidth="1"/>
  </cols>
  <sheetData>
    <row r="1" spans="1:10" ht="15.75" customHeight="1" x14ac:dyDescent="0.2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7" t="s">
        <v>21</v>
      </c>
      <c r="G1" s="8" t="s">
        <v>109</v>
      </c>
      <c r="H1" s="8" t="s">
        <v>137</v>
      </c>
      <c r="I1" s="7" t="s">
        <v>138</v>
      </c>
      <c r="J1" s="7" t="s">
        <v>139</v>
      </c>
    </row>
    <row r="2" spans="1:10" ht="15.75" customHeight="1" x14ac:dyDescent="0.2">
      <c r="A2" s="5" t="s">
        <v>22</v>
      </c>
      <c r="B2" s="5" t="s">
        <v>23</v>
      </c>
      <c r="C2" s="5" t="s">
        <v>24</v>
      </c>
      <c r="D2" s="5">
        <v>1000</v>
      </c>
      <c r="E2" s="5">
        <v>30</v>
      </c>
      <c r="F2" s="5" t="s">
        <v>25</v>
      </c>
      <c r="G2" s="5" t="str">
        <f>IF(D2&gt;=500,"High price","Standard price")</f>
        <v>High price</v>
      </c>
      <c r="H2" s="5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">
      <c r="A3" s="6" t="s">
        <v>26</v>
      </c>
      <c r="B3" s="6" t="s">
        <v>27</v>
      </c>
      <c r="C3" s="6" t="s">
        <v>28</v>
      </c>
      <c r="D3" s="6">
        <v>80</v>
      </c>
      <c r="E3" s="6">
        <v>15</v>
      </c>
      <c r="F3" s="6" t="s">
        <v>29</v>
      </c>
      <c r="G3" s="10" t="str">
        <f>IF(D3&gt;=500,"High price","Standardprice")</f>
        <v>Standardprice</v>
      </c>
      <c r="H3" s="5" t="str">
        <f t="shared" ref="H3:H35" si="0">LEFT(A3,2)</f>
        <v>15</v>
      </c>
      <c r="I3" t="str">
        <f t="shared" ref="I3:I36" si="1">RIGHT(A3,2)</f>
        <v>US</v>
      </c>
      <c r="J3" t="str">
        <f t="shared" ref="J3:J35" si="2">MID(A3,4,3)</f>
        <v>FEB</v>
      </c>
    </row>
    <row r="4" spans="1:10" ht="15.75" customHeight="1" x14ac:dyDescent="0.2">
      <c r="A4" s="5" t="s">
        <v>30</v>
      </c>
      <c r="B4" s="5" t="s">
        <v>31</v>
      </c>
      <c r="C4" s="5" t="s">
        <v>32</v>
      </c>
      <c r="D4" s="5">
        <v>130</v>
      </c>
      <c r="E4" s="5">
        <v>40</v>
      </c>
      <c r="F4" s="5" t="s">
        <v>33</v>
      </c>
      <c r="G4" s="10" t="str">
        <f t="shared" ref="G4:G35" si="3">IF(D4&gt;=500,"High price","Standardprice")</f>
        <v>Standardprice</v>
      </c>
      <c r="H4" s="5" t="str">
        <f t="shared" si="0"/>
        <v>03</v>
      </c>
      <c r="I4" t="str">
        <f t="shared" si="1"/>
        <v>US</v>
      </c>
      <c r="J4" t="str">
        <f t="shared" si="2"/>
        <v>MAR</v>
      </c>
    </row>
    <row r="5" spans="1:10" ht="15.75" customHeight="1" x14ac:dyDescent="0.2">
      <c r="A5" s="6" t="s">
        <v>34</v>
      </c>
      <c r="B5" s="6" t="s">
        <v>35</v>
      </c>
      <c r="C5" s="6" t="s">
        <v>36</v>
      </c>
      <c r="D5" s="6">
        <v>900</v>
      </c>
      <c r="E5" s="6">
        <v>25</v>
      </c>
      <c r="F5" s="6" t="s">
        <v>25</v>
      </c>
      <c r="G5" s="10" t="str">
        <f t="shared" si="3"/>
        <v>High price</v>
      </c>
      <c r="H5" s="5" t="str">
        <f t="shared" si="0"/>
        <v>11</v>
      </c>
      <c r="I5" t="str">
        <f t="shared" si="1"/>
        <v>US</v>
      </c>
      <c r="J5" t="str">
        <f t="shared" si="2"/>
        <v>APR</v>
      </c>
    </row>
    <row r="6" spans="1:10" ht="15.75" customHeight="1" x14ac:dyDescent="0.2">
      <c r="A6" s="5" t="s">
        <v>37</v>
      </c>
      <c r="B6" s="5" t="s">
        <v>38</v>
      </c>
      <c r="C6" s="5" t="s">
        <v>39</v>
      </c>
      <c r="D6" s="5">
        <v>70</v>
      </c>
      <c r="E6" s="5">
        <v>20</v>
      </c>
      <c r="F6" s="5" t="s">
        <v>40</v>
      </c>
      <c r="G6" s="10" t="str">
        <f t="shared" si="3"/>
        <v>Standardprice</v>
      </c>
      <c r="H6" s="5" t="str">
        <f t="shared" si="0"/>
        <v>22</v>
      </c>
      <c r="I6" t="str">
        <f t="shared" si="1"/>
        <v>US</v>
      </c>
      <c r="J6" t="str">
        <f t="shared" si="2"/>
        <v>MAY</v>
      </c>
    </row>
    <row r="7" spans="1:10" ht="15.75" customHeight="1" x14ac:dyDescent="0.2">
      <c r="A7" s="6" t="s">
        <v>41</v>
      </c>
      <c r="B7" s="6" t="s">
        <v>42</v>
      </c>
      <c r="C7" s="6" t="s">
        <v>43</v>
      </c>
      <c r="D7" s="6">
        <v>200</v>
      </c>
      <c r="E7" s="6">
        <v>45</v>
      </c>
      <c r="F7" s="6" t="s">
        <v>25</v>
      </c>
      <c r="G7" s="10" t="str">
        <f t="shared" si="3"/>
        <v>Standardprice</v>
      </c>
      <c r="H7" s="5" t="str">
        <f t="shared" si="0"/>
        <v>07</v>
      </c>
      <c r="I7" t="str">
        <f t="shared" si="1"/>
        <v>UK</v>
      </c>
      <c r="J7" t="str">
        <f t="shared" si="2"/>
        <v>JUN</v>
      </c>
    </row>
    <row r="8" spans="1:10" ht="15.75" customHeight="1" x14ac:dyDescent="0.2">
      <c r="A8" s="5" t="s">
        <v>44</v>
      </c>
      <c r="B8" s="5" t="s">
        <v>45</v>
      </c>
      <c r="C8" s="5" t="s">
        <v>46</v>
      </c>
      <c r="D8" s="5">
        <v>30</v>
      </c>
      <c r="E8" s="5">
        <v>5</v>
      </c>
      <c r="F8" s="5" t="s">
        <v>29</v>
      </c>
      <c r="G8" s="10" t="str">
        <f t="shared" si="3"/>
        <v>Standardprice</v>
      </c>
      <c r="H8" s="5" t="str">
        <f t="shared" si="0"/>
        <v>19</v>
      </c>
      <c r="I8" t="str">
        <f t="shared" si="1"/>
        <v>UK</v>
      </c>
      <c r="J8" t="str">
        <f t="shared" si="2"/>
        <v>JUL</v>
      </c>
    </row>
    <row r="9" spans="1:10" ht="15.75" customHeight="1" x14ac:dyDescent="0.2">
      <c r="A9" s="6" t="s">
        <v>47</v>
      </c>
      <c r="B9" s="6" t="s">
        <v>48</v>
      </c>
      <c r="C9" s="6" t="s">
        <v>49</v>
      </c>
      <c r="D9" s="6">
        <v>90</v>
      </c>
      <c r="E9" s="6">
        <v>35</v>
      </c>
      <c r="F9" s="6" t="s">
        <v>33</v>
      </c>
      <c r="G9" s="10" t="str">
        <f t="shared" si="3"/>
        <v>Standardprice</v>
      </c>
      <c r="H9" s="5" t="str">
        <f t="shared" si="0"/>
        <v>23</v>
      </c>
      <c r="I9" t="str">
        <f t="shared" si="1"/>
        <v>UK</v>
      </c>
      <c r="J9" t="str">
        <f t="shared" si="2"/>
        <v>AUG</v>
      </c>
    </row>
    <row r="10" spans="1:10" ht="15.75" customHeight="1" x14ac:dyDescent="0.2">
      <c r="A10" s="5" t="s">
        <v>50</v>
      </c>
      <c r="B10" s="5" t="s">
        <v>51</v>
      </c>
      <c r="C10" s="5" t="s">
        <v>52</v>
      </c>
      <c r="D10" s="5">
        <v>500</v>
      </c>
      <c r="E10" s="5">
        <v>50</v>
      </c>
      <c r="F10" s="5" t="s">
        <v>25</v>
      </c>
      <c r="G10" s="10" t="str">
        <f t="shared" si="3"/>
        <v>High price</v>
      </c>
      <c r="H10" s="5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0" ht="15.75" customHeight="1" x14ac:dyDescent="0.2">
      <c r="A11" s="6" t="s">
        <v>53</v>
      </c>
      <c r="B11" s="6" t="s">
        <v>54</v>
      </c>
      <c r="C11" s="6" t="s">
        <v>55</v>
      </c>
      <c r="D11" s="6">
        <v>130</v>
      </c>
      <c r="E11" s="6">
        <v>10</v>
      </c>
      <c r="F11" s="6" t="s">
        <v>40</v>
      </c>
      <c r="G11" s="10" t="str">
        <f t="shared" si="3"/>
        <v>Standardprice</v>
      </c>
      <c r="H11" s="5" t="str">
        <f t="shared" si="0"/>
        <v>14</v>
      </c>
      <c r="I11" t="str">
        <f t="shared" si="1"/>
        <v>UK</v>
      </c>
      <c r="J11" t="str">
        <f t="shared" si="2"/>
        <v>OCT</v>
      </c>
    </row>
    <row r="12" spans="1:10" ht="15.75" customHeight="1" x14ac:dyDescent="0.2">
      <c r="A12" s="5" t="s">
        <v>56</v>
      </c>
      <c r="B12" s="5" t="s">
        <v>23</v>
      </c>
      <c r="C12" s="5" t="s">
        <v>57</v>
      </c>
      <c r="D12" s="5">
        <v>950</v>
      </c>
      <c r="E12" s="5">
        <v>25</v>
      </c>
      <c r="F12" s="5" t="s">
        <v>25</v>
      </c>
      <c r="G12" s="10" t="str">
        <f t="shared" si="3"/>
        <v>High price</v>
      </c>
      <c r="H12" s="5" t="str">
        <f t="shared" si="0"/>
        <v>17</v>
      </c>
      <c r="I12" t="str">
        <f t="shared" si="1"/>
        <v>IN</v>
      </c>
      <c r="J12" t="str">
        <f t="shared" si="2"/>
        <v>JUN</v>
      </c>
    </row>
    <row r="13" spans="1:10" ht="15.75" customHeight="1" x14ac:dyDescent="0.2">
      <c r="A13" s="6" t="s">
        <v>58</v>
      </c>
      <c r="B13" s="6" t="s">
        <v>27</v>
      </c>
      <c r="C13" s="6" t="s">
        <v>46</v>
      </c>
      <c r="D13" s="6">
        <v>90</v>
      </c>
      <c r="E13" s="6">
        <v>40</v>
      </c>
      <c r="F13" s="6" t="s">
        <v>29</v>
      </c>
      <c r="G13" s="10" t="str">
        <f t="shared" si="3"/>
        <v>Standardprice</v>
      </c>
      <c r="H13" s="5" t="str">
        <f t="shared" si="0"/>
        <v>25</v>
      </c>
      <c r="I13" t="str">
        <f t="shared" si="1"/>
        <v>AU</v>
      </c>
      <c r="J13" t="str">
        <f t="shared" si="2"/>
        <v>NOV</v>
      </c>
    </row>
    <row r="14" spans="1:10" ht="15.75" customHeight="1" x14ac:dyDescent="0.2">
      <c r="A14" s="5" t="s">
        <v>59</v>
      </c>
      <c r="B14" s="5" t="s">
        <v>31</v>
      </c>
      <c r="C14" s="5" t="s">
        <v>60</v>
      </c>
      <c r="D14" s="5">
        <v>120</v>
      </c>
      <c r="E14" s="5">
        <v>35</v>
      </c>
      <c r="F14" s="5" t="s">
        <v>33</v>
      </c>
      <c r="G14" s="10" t="str">
        <f t="shared" si="3"/>
        <v>Standardprice</v>
      </c>
      <c r="H14" s="5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0" ht="15.75" customHeight="1" x14ac:dyDescent="0.2">
      <c r="A15" s="6" t="s">
        <v>61</v>
      </c>
      <c r="B15" s="6" t="s">
        <v>62</v>
      </c>
      <c r="C15" s="6" t="s">
        <v>63</v>
      </c>
      <c r="D15" s="6">
        <v>150</v>
      </c>
      <c r="E15" s="6">
        <v>15</v>
      </c>
      <c r="F15" s="6" t="s">
        <v>25</v>
      </c>
      <c r="G15" s="10" t="str">
        <f t="shared" si="3"/>
        <v>Standardprice</v>
      </c>
      <c r="H15" s="5" t="str">
        <f t="shared" si="0"/>
        <v>18</v>
      </c>
      <c r="I15" t="str">
        <f t="shared" si="1"/>
        <v>CA</v>
      </c>
      <c r="J15" t="str">
        <f t="shared" si="2"/>
        <v>FEB</v>
      </c>
    </row>
    <row r="16" spans="1:10" ht="15.75" customHeight="1" x14ac:dyDescent="0.2">
      <c r="A16" s="5" t="s">
        <v>64</v>
      </c>
      <c r="B16" s="5" t="s">
        <v>42</v>
      </c>
      <c r="C16" s="5" t="s">
        <v>65</v>
      </c>
      <c r="D16" s="5">
        <v>250</v>
      </c>
      <c r="E16" s="5">
        <v>20</v>
      </c>
      <c r="F16" s="5" t="s">
        <v>25</v>
      </c>
      <c r="G16" s="10" t="str">
        <f t="shared" si="3"/>
        <v>Standardprice</v>
      </c>
      <c r="H16" s="5" t="str">
        <f t="shared" si="0"/>
        <v>16</v>
      </c>
      <c r="I16" t="str">
        <f t="shared" si="1"/>
        <v>ES</v>
      </c>
      <c r="J16" t="str">
        <f t="shared" si="2"/>
        <v>APR</v>
      </c>
    </row>
    <row r="17" spans="1:10" ht="15.75" customHeight="1" x14ac:dyDescent="0.2">
      <c r="A17" s="6" t="s">
        <v>66</v>
      </c>
      <c r="B17" s="6" t="s">
        <v>67</v>
      </c>
      <c r="C17" s="6" t="s">
        <v>68</v>
      </c>
      <c r="D17" s="6">
        <v>50</v>
      </c>
      <c r="E17" s="6">
        <v>35</v>
      </c>
      <c r="F17" s="6" t="s">
        <v>69</v>
      </c>
      <c r="G17" s="10" t="str">
        <f t="shared" si="3"/>
        <v>Standardprice</v>
      </c>
      <c r="H17" s="5" t="str">
        <f t="shared" si="0"/>
        <v>21</v>
      </c>
      <c r="I17" t="str">
        <f t="shared" si="1"/>
        <v>CA</v>
      </c>
      <c r="J17" t="str">
        <f t="shared" si="2"/>
        <v>AUG</v>
      </c>
    </row>
    <row r="18" spans="1:10" ht="15.75" customHeight="1" x14ac:dyDescent="0.2">
      <c r="A18" s="5" t="s">
        <v>70</v>
      </c>
      <c r="B18" s="5" t="s">
        <v>62</v>
      </c>
      <c r="C18" s="5" t="s">
        <v>71</v>
      </c>
      <c r="D18" s="5">
        <v>160</v>
      </c>
      <c r="E18" s="5">
        <v>15</v>
      </c>
      <c r="F18" s="5" t="s">
        <v>25</v>
      </c>
      <c r="G18" s="10" t="str">
        <f t="shared" si="3"/>
        <v>Standardprice</v>
      </c>
      <c r="H18" s="5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0" ht="15.75" customHeight="1" x14ac:dyDescent="0.2">
      <c r="A19" s="6" t="s">
        <v>72</v>
      </c>
      <c r="B19" s="6" t="s">
        <v>23</v>
      </c>
      <c r="C19" s="6" t="s">
        <v>73</v>
      </c>
      <c r="D19" s="6">
        <v>980</v>
      </c>
      <c r="E19" s="6">
        <v>10</v>
      </c>
      <c r="F19" s="6" t="s">
        <v>25</v>
      </c>
      <c r="G19" s="10" t="str">
        <f t="shared" si="3"/>
        <v>High price</v>
      </c>
      <c r="H19" s="5" t="str">
        <f t="shared" si="0"/>
        <v>27</v>
      </c>
      <c r="I19" t="str">
        <f t="shared" si="1"/>
        <v>IT</v>
      </c>
      <c r="J19" t="str">
        <f t="shared" si="2"/>
        <v>JAN</v>
      </c>
    </row>
    <row r="20" spans="1:10" ht="15.75" customHeight="1" x14ac:dyDescent="0.2">
      <c r="A20" s="5" t="s">
        <v>74</v>
      </c>
      <c r="B20" s="5" t="s">
        <v>75</v>
      </c>
      <c r="C20" s="5" t="s">
        <v>76</v>
      </c>
      <c r="D20" s="5">
        <v>150</v>
      </c>
      <c r="E20" s="5">
        <v>15</v>
      </c>
      <c r="F20" s="5" t="s">
        <v>29</v>
      </c>
      <c r="G20" s="10" t="str">
        <f t="shared" si="3"/>
        <v>Standardprice</v>
      </c>
      <c r="H20" s="5" t="str">
        <f t="shared" si="0"/>
        <v>01</v>
      </c>
      <c r="I20" t="str">
        <f t="shared" si="1"/>
        <v>UK</v>
      </c>
      <c r="J20" t="str">
        <f t="shared" si="2"/>
        <v>MAR</v>
      </c>
    </row>
    <row r="21" spans="1:10" ht="15.75" customHeight="1" x14ac:dyDescent="0.2">
      <c r="A21" s="6" t="s">
        <v>77</v>
      </c>
      <c r="B21" s="6" t="s">
        <v>78</v>
      </c>
      <c r="C21" s="6" t="s">
        <v>79</v>
      </c>
      <c r="D21" s="6">
        <v>200</v>
      </c>
      <c r="E21" s="6">
        <v>10</v>
      </c>
      <c r="F21" s="6" t="s">
        <v>40</v>
      </c>
      <c r="G21" s="10" t="str">
        <f t="shared" si="3"/>
        <v>Standardprice</v>
      </c>
      <c r="H21" s="5" t="str">
        <f t="shared" si="0"/>
        <v>14</v>
      </c>
      <c r="I21" t="str">
        <f t="shared" si="1"/>
        <v>US</v>
      </c>
      <c r="J21" t="str">
        <f t="shared" si="2"/>
        <v>AUG</v>
      </c>
    </row>
    <row r="22" spans="1:10" ht="15.75" customHeight="1" x14ac:dyDescent="0.2">
      <c r="A22" s="5" t="s">
        <v>80</v>
      </c>
      <c r="B22" s="5" t="s">
        <v>81</v>
      </c>
      <c r="C22" s="5" t="s">
        <v>82</v>
      </c>
      <c r="D22" s="5">
        <v>700</v>
      </c>
      <c r="E22" s="5">
        <v>50</v>
      </c>
      <c r="F22" s="5" t="s">
        <v>25</v>
      </c>
      <c r="G22" s="10" t="str">
        <f t="shared" si="3"/>
        <v>High price</v>
      </c>
      <c r="H22" s="5" t="str">
        <f t="shared" si="0"/>
        <v>14</v>
      </c>
      <c r="I22" t="str">
        <f t="shared" si="1"/>
        <v>RU</v>
      </c>
      <c r="J22" t="str">
        <f t="shared" si="2"/>
        <v>MAY</v>
      </c>
    </row>
    <row r="23" spans="1:10" ht="15.75" customHeight="1" x14ac:dyDescent="0.2">
      <c r="A23" s="6" t="s">
        <v>83</v>
      </c>
      <c r="B23" s="6" t="s">
        <v>84</v>
      </c>
      <c r="C23" s="6" t="s">
        <v>85</v>
      </c>
      <c r="D23" s="6">
        <v>80</v>
      </c>
      <c r="E23" s="6">
        <v>20</v>
      </c>
      <c r="F23" s="6" t="s">
        <v>33</v>
      </c>
      <c r="G23" s="10" t="str">
        <f t="shared" si="3"/>
        <v>Standardprice</v>
      </c>
      <c r="H23" s="5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0" ht="15.75" customHeight="1" x14ac:dyDescent="0.2">
      <c r="A24" s="5" t="s">
        <v>86</v>
      </c>
      <c r="B24" s="5" t="s">
        <v>87</v>
      </c>
      <c r="C24" s="5" t="s">
        <v>88</v>
      </c>
      <c r="D24" s="5">
        <v>150</v>
      </c>
      <c r="E24" s="5">
        <v>30</v>
      </c>
      <c r="F24" s="5" t="s">
        <v>25</v>
      </c>
      <c r="G24" s="10" t="str">
        <f t="shared" si="3"/>
        <v>Standardprice</v>
      </c>
      <c r="H24" s="5" t="str">
        <f t="shared" si="0"/>
        <v>19</v>
      </c>
      <c r="I24" t="str">
        <f t="shared" si="1"/>
        <v>BR</v>
      </c>
      <c r="J24" t="str">
        <f t="shared" si="2"/>
        <v>JUL</v>
      </c>
    </row>
    <row r="25" spans="1:10" ht="15.75" customHeight="1" x14ac:dyDescent="0.2">
      <c r="A25" s="6" t="s">
        <v>66</v>
      </c>
      <c r="B25" s="6" t="s">
        <v>67</v>
      </c>
      <c r="C25" s="6" t="s">
        <v>68</v>
      </c>
      <c r="D25" s="6">
        <v>50</v>
      </c>
      <c r="E25" s="6">
        <v>35</v>
      </c>
      <c r="F25" s="6" t="s">
        <v>69</v>
      </c>
      <c r="G25" s="10" t="str">
        <f t="shared" si="3"/>
        <v>Standardprice</v>
      </c>
      <c r="H25" s="5" t="str">
        <f t="shared" si="0"/>
        <v>21</v>
      </c>
      <c r="I25" t="str">
        <f t="shared" si="1"/>
        <v>CA</v>
      </c>
      <c r="J25" t="str">
        <f t="shared" si="2"/>
        <v>AUG</v>
      </c>
    </row>
    <row r="26" spans="1:10" ht="15.75" customHeight="1" x14ac:dyDescent="0.2">
      <c r="A26" s="5" t="s">
        <v>89</v>
      </c>
      <c r="B26" s="5" t="s">
        <v>35</v>
      </c>
      <c r="C26" s="5" t="s">
        <v>90</v>
      </c>
      <c r="D26" s="5">
        <v>800</v>
      </c>
      <c r="E26" s="5">
        <v>45</v>
      </c>
      <c r="F26" s="5" t="s">
        <v>25</v>
      </c>
      <c r="G26" s="10" t="str">
        <f t="shared" si="3"/>
        <v>High price</v>
      </c>
      <c r="H26" s="5" t="str">
        <f t="shared" si="0"/>
        <v>29</v>
      </c>
      <c r="I26" t="str">
        <f t="shared" si="1"/>
        <v>CA</v>
      </c>
      <c r="J26" t="str">
        <f t="shared" si="2"/>
        <v>SEP</v>
      </c>
    </row>
    <row r="27" spans="1:10" ht="15.75" customHeight="1" x14ac:dyDescent="0.2">
      <c r="A27" s="6" t="s">
        <v>91</v>
      </c>
      <c r="B27" s="6" t="s">
        <v>75</v>
      </c>
      <c r="C27" s="6" t="s">
        <v>92</v>
      </c>
      <c r="D27" s="6">
        <v>130</v>
      </c>
      <c r="E27" s="6">
        <v>25</v>
      </c>
      <c r="F27" s="6" t="s">
        <v>29</v>
      </c>
      <c r="G27" s="10" t="str">
        <f t="shared" si="3"/>
        <v>Standardprice</v>
      </c>
      <c r="H27" s="5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0" ht="15.75" customHeight="1" x14ac:dyDescent="0.2">
      <c r="A28" s="5" t="s">
        <v>93</v>
      </c>
      <c r="B28" s="5" t="s">
        <v>48</v>
      </c>
      <c r="C28" s="5" t="s">
        <v>94</v>
      </c>
      <c r="D28" s="5">
        <v>400</v>
      </c>
      <c r="E28" s="5">
        <v>40</v>
      </c>
      <c r="F28" s="5" t="s">
        <v>33</v>
      </c>
      <c r="G28" s="10" t="str">
        <f t="shared" si="3"/>
        <v>Standardprice</v>
      </c>
      <c r="H28" s="5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0" ht="15.75" customHeight="1" x14ac:dyDescent="0.2">
      <c r="A29" s="6" t="s">
        <v>64</v>
      </c>
      <c r="B29" s="6" t="s">
        <v>42</v>
      </c>
      <c r="C29" s="6" t="s">
        <v>65</v>
      </c>
      <c r="D29" s="6">
        <v>230</v>
      </c>
      <c r="E29" s="6">
        <v>20</v>
      </c>
      <c r="F29" s="6" t="s">
        <v>25</v>
      </c>
      <c r="G29" s="10" t="str">
        <f t="shared" si="3"/>
        <v>Standardprice</v>
      </c>
      <c r="H29" s="5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0" ht="15.75" customHeight="1" x14ac:dyDescent="0.2">
      <c r="A30" s="5" t="s">
        <v>95</v>
      </c>
      <c r="B30" s="5" t="s">
        <v>96</v>
      </c>
      <c r="C30" s="5" t="s">
        <v>97</v>
      </c>
      <c r="D30" s="5">
        <v>60</v>
      </c>
      <c r="E30" s="5">
        <v>30</v>
      </c>
      <c r="F30" s="5" t="s">
        <v>29</v>
      </c>
      <c r="G30" s="10" t="str">
        <f t="shared" si="3"/>
        <v>Standardprice</v>
      </c>
      <c r="H30" s="5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0" ht="15.75" customHeight="1" x14ac:dyDescent="0.2">
      <c r="A31" s="6" t="s">
        <v>98</v>
      </c>
      <c r="B31" s="6" t="s">
        <v>99</v>
      </c>
      <c r="C31" s="6" t="s">
        <v>100</v>
      </c>
      <c r="D31" s="6">
        <v>40</v>
      </c>
      <c r="E31" s="6">
        <v>10</v>
      </c>
      <c r="F31" s="6" t="s">
        <v>33</v>
      </c>
      <c r="G31" s="10" t="str">
        <f t="shared" si="3"/>
        <v>Standardprice</v>
      </c>
      <c r="H31" s="5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0" ht="15.75" customHeight="1" x14ac:dyDescent="0.2">
      <c r="A32" s="5" t="s">
        <v>101</v>
      </c>
      <c r="B32" s="5" t="s">
        <v>87</v>
      </c>
      <c r="C32" s="5" t="s">
        <v>102</v>
      </c>
      <c r="D32" s="5">
        <v>130</v>
      </c>
      <c r="E32" s="5">
        <v>5</v>
      </c>
      <c r="F32" s="5" t="s">
        <v>25</v>
      </c>
      <c r="G32" s="10" t="str">
        <f t="shared" si="3"/>
        <v>Standardprice</v>
      </c>
      <c r="H32" s="5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ht="15.75" customHeight="1" x14ac:dyDescent="0.2">
      <c r="A33" s="6" t="s">
        <v>103</v>
      </c>
      <c r="B33" s="6" t="s">
        <v>104</v>
      </c>
      <c r="C33" s="6" t="s">
        <v>105</v>
      </c>
      <c r="D33" s="6">
        <v>50</v>
      </c>
      <c r="E33" s="6">
        <v>50</v>
      </c>
      <c r="F33" s="6" t="s">
        <v>29</v>
      </c>
      <c r="G33" s="10" t="str">
        <f t="shared" si="3"/>
        <v>Standardprice</v>
      </c>
      <c r="H33" s="5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ht="15.75" customHeight="1" x14ac:dyDescent="0.2">
      <c r="A34" s="5" t="s">
        <v>56</v>
      </c>
      <c r="B34" s="5" t="s">
        <v>23</v>
      </c>
      <c r="C34" s="5" t="s">
        <v>57</v>
      </c>
      <c r="D34" s="5">
        <v>950</v>
      </c>
      <c r="E34" s="5">
        <v>25</v>
      </c>
      <c r="F34" s="5" t="s">
        <v>25</v>
      </c>
      <c r="G34" s="10" t="str">
        <f t="shared" si="3"/>
        <v>High price</v>
      </c>
      <c r="H34" s="5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ht="15.75" customHeight="1" x14ac:dyDescent="0.2">
      <c r="A35" s="6" t="s">
        <v>106</v>
      </c>
      <c r="B35" s="6" t="s">
        <v>107</v>
      </c>
      <c r="C35" s="6" t="s">
        <v>108</v>
      </c>
      <c r="D35" s="6">
        <v>100</v>
      </c>
      <c r="E35" s="6">
        <v>20</v>
      </c>
      <c r="F35" s="6" t="s">
        <v>69</v>
      </c>
      <c r="G35" s="10" t="str">
        <f t="shared" si="3"/>
        <v>Standardprice</v>
      </c>
      <c r="H35" s="5" t="str">
        <f t="shared" si="0"/>
        <v>09</v>
      </c>
      <c r="I35" t="str">
        <f t="shared" si="1"/>
        <v>FR</v>
      </c>
      <c r="J35" t="str">
        <f t="shared" si="2"/>
        <v>JUL</v>
      </c>
    </row>
    <row r="36" spans="1:10" ht="15.75" customHeight="1" x14ac:dyDescent="0.2">
      <c r="I36" t="str">
        <f t="shared" si="1"/>
        <v/>
      </c>
    </row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3E0D-7FBC-4BA4-B572-E595644227F8}">
  <dimension ref="A1:C14"/>
  <sheetViews>
    <sheetView workbookViewId="0">
      <selection activeCell="B16" sqref="B16"/>
    </sheetView>
  </sheetViews>
  <sheetFormatPr defaultRowHeight="12.75" x14ac:dyDescent="0.2"/>
  <cols>
    <col min="1" max="1" width="28" customWidth="1"/>
    <col min="2" max="2" width="70" customWidth="1"/>
    <col min="3" max="3" width="38" customWidth="1"/>
  </cols>
  <sheetData>
    <row r="1" spans="1:3" ht="20.25" x14ac:dyDescent="0.2">
      <c r="A1" s="11" t="s">
        <v>111</v>
      </c>
      <c r="B1" s="12"/>
      <c r="C1" s="12"/>
    </row>
    <row r="2" spans="1:3" x14ac:dyDescent="0.2">
      <c r="A2" s="12"/>
      <c r="B2" s="12"/>
      <c r="C2" s="12"/>
    </row>
    <row r="3" spans="1:3" x14ac:dyDescent="0.2">
      <c r="A3" s="13" t="s">
        <v>112</v>
      </c>
      <c r="B3" s="13" t="s">
        <v>113</v>
      </c>
      <c r="C3" s="13" t="s">
        <v>114</v>
      </c>
    </row>
    <row r="4" spans="1:3" x14ac:dyDescent="0.2">
      <c r="A4" s="14" t="s">
        <v>115</v>
      </c>
      <c r="B4" s="14">
        <v>10100</v>
      </c>
      <c r="C4" s="14" t="s">
        <v>116</v>
      </c>
    </row>
    <row r="5" spans="1:3" x14ac:dyDescent="0.2">
      <c r="A5" s="14" t="s">
        <v>117</v>
      </c>
      <c r="B5" s="14">
        <v>34</v>
      </c>
      <c r="C5" s="14" t="s">
        <v>118</v>
      </c>
    </row>
    <row r="6" spans="1:3" x14ac:dyDescent="0.2">
      <c r="A6" s="14" t="s">
        <v>119</v>
      </c>
      <c r="B6" s="14">
        <v>297.05880000000002</v>
      </c>
      <c r="C6" s="14" t="s">
        <v>120</v>
      </c>
    </row>
    <row r="7" spans="1:3" x14ac:dyDescent="0.2">
      <c r="A7" s="14" t="s">
        <v>121</v>
      </c>
      <c r="B7" s="14">
        <f>MIN([1]Dataset!D2:D44)</f>
        <v>30</v>
      </c>
      <c r="C7" s="14" t="s">
        <v>122</v>
      </c>
    </row>
    <row r="8" spans="1:3" x14ac:dyDescent="0.2">
      <c r="A8" s="14" t="s">
        <v>123</v>
      </c>
      <c r="B8" s="14">
        <v>1000</v>
      </c>
      <c r="C8" s="14" t="s">
        <v>124</v>
      </c>
    </row>
    <row r="9" spans="1:3" x14ac:dyDescent="0.2">
      <c r="A9" s="14" t="s">
        <v>125</v>
      </c>
      <c r="B9" s="14" t="str">
        <f>IF([1]Dataset!D2&gt;=500,"High Price","Standard Price")</f>
        <v>High Price</v>
      </c>
      <c r="C9" s="14" t="s">
        <v>126</v>
      </c>
    </row>
    <row r="10" spans="1:3" x14ac:dyDescent="0.2">
      <c r="A10" s="14" t="s">
        <v>127</v>
      </c>
      <c r="B10" s="14">
        <v>8050</v>
      </c>
      <c r="C10" s="14" t="s">
        <v>128</v>
      </c>
    </row>
    <row r="11" spans="1:3" x14ac:dyDescent="0.2">
      <c r="A11" s="14" t="s">
        <v>129</v>
      </c>
      <c r="B11" s="14">
        <f>COUNTIF([1]Dataset!D2:D44,"&lt;100")</f>
        <v>11</v>
      </c>
      <c r="C11" s="14" t="s">
        <v>130</v>
      </c>
    </row>
    <row r="12" spans="1:3" x14ac:dyDescent="0.2">
      <c r="A12" s="14" t="s">
        <v>131</v>
      </c>
      <c r="B12" s="14" t="str">
        <f>LEFT([1]Dataset!A2,2)</f>
        <v>28</v>
      </c>
      <c r="C12" s="14" t="s">
        <v>132</v>
      </c>
    </row>
    <row r="13" spans="1:3" x14ac:dyDescent="0.2">
      <c r="A13" s="14" t="s">
        <v>133</v>
      </c>
      <c r="B13" s="14" t="str">
        <f>RIGHT([1]Dataset!A2,2)</f>
        <v>US</v>
      </c>
      <c r="C13" s="14" t="s">
        <v>134</v>
      </c>
    </row>
    <row r="14" spans="1:3" x14ac:dyDescent="0.2">
      <c r="A14" s="14" t="s">
        <v>135</v>
      </c>
      <c r="B14" s="14" t="str">
        <f>MID([1]Dataset!A2,4,3)</f>
        <v>JAN</v>
      </c>
      <c r="C14" s="1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Dataset</vt:lpstr>
      <vt:lpstr>solution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2026-09-02T15:15:39Z</dcterms:created>
  <dcterms:modified xsi:type="dcterms:W3CDTF">2026-09-02T15:15:39Z</dcterms:modified>
</cp:coreProperties>
</file>